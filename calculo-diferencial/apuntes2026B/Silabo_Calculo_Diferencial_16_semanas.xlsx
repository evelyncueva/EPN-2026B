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pnecuador-my.sharepoint.com/personal/miguel_yangari_epn_edu_ec/Documents/2026B/EPN/Calculo diferencial/"/>
    </mc:Choice>
  </mc:AlternateContent>
  <xr:revisionPtr revIDLastSave="1" documentId="13_ncr:1_{4C80DFEF-0E7D-7044-827A-37F1577710D8}" xr6:coauthVersionLast="47" xr6:coauthVersionMax="47" xr10:uidLastSave="{90AD3DF0-7F5A-2B4D-9449-E4E6AA644E5B}"/>
  <bookViews>
    <workbookView xWindow="0" yWindow="500" windowWidth="26820" windowHeight="17280" activeTab="1" xr2:uid="{7F381229-4210-40E8-B182-113B67D98063}"/>
  </bookViews>
  <sheets>
    <sheet name="Criterios" sheetId="2" r:id="rId1"/>
    <sheet name="Plan semanal" sheetId="1" r:id="rId2"/>
  </sheets>
  <definedNames>
    <definedName name="_xlnm._FilterDatabase" localSheetId="1" hidden="1">'Plan semanal'!$A$7:$G$23</definedName>
    <definedName name="_xlnm.Print_Titles" localSheetId="1">'Plan semanal'!$1:$7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4" i="1" l="1"/>
  <c r="B4" i="1"/>
  <c r="F4" i="1" l="1"/>
</calcChain>
</file>

<file path=xl/sharedStrings.xml><?xml version="1.0" encoding="utf-8"?>
<sst xmlns="http://schemas.openxmlformats.org/spreadsheetml/2006/main" count="116" uniqueCount="114">
  <si>
    <t>SÍLABO DE CÁLCULO DIFERENCIAL — PLAN DE 16 SEMANAS</t>
  </si>
  <si>
    <t>Inicio: 28 de septiembre de 2026 | 5 horas semanales | Sin la unidad de integración</t>
  </si>
  <si>
    <t>Horas totales</t>
  </si>
  <si>
    <t>Horas de evaluación</t>
  </si>
  <si>
    <t>Horas de desarrollo</t>
  </si>
  <si>
    <t>6 evaluaciones</t>
  </si>
  <si>
    <t>Semana</t>
  </si>
  <si>
    <t>Fechas</t>
  </si>
  <si>
    <t>Unidad / enfoque</t>
  </si>
  <si>
    <t>Plan de clases</t>
  </si>
  <si>
    <t>Horas</t>
  </si>
  <si>
    <t>H. evaluación</t>
  </si>
  <si>
    <t>Evaluación / observaciones</t>
  </si>
  <si>
    <t>28 sep–2 oct 2026</t>
  </si>
  <si>
    <t>Funciones: fundamentos y representaciones</t>
  </si>
  <si>
    <t>Inicio del curso</t>
  </si>
  <si>
    <t>5–9 oct 2026</t>
  </si>
  <si>
    <t>Funciones y noción intuitiva de límite</t>
  </si>
  <si>
    <t>CLASE 1 (1 h): Inyectividad, sobreyectividad, biyectividad e inversa; pruebas gráficas y algebraicas.
CLASE 2 (2 h): Noción intuitiva de límite mediante tablas, gráficas y sucesiones; unicidad y funciones localmente iguales.
CLASE 3 (2 h): Límites básicos y álgebra de límites. Cálculo en funciones polinómicas, racionales y radicales; factorización y racionalización.</t>
  </si>
  <si>
    <t>Las funciones se reutilizan como contexto de límites.</t>
  </si>
  <si>
    <t>12–16 oct 2026</t>
  </si>
  <si>
    <t>Límites laterales, infinitos y al infinito</t>
  </si>
  <si>
    <t>Preparación para la Prueba 1.</t>
  </si>
  <si>
    <t>19–23 oct 2026</t>
  </si>
  <si>
    <t>Evaluación y continuidad puntual</t>
  </si>
  <si>
    <t>CLASE 1 (1 h): Taller integrador de funciones y límites; análisis de errores frecuentes.
CLASE 2 (2 h): PRUEBA 1 — funciones, representación, dominio/recorrido y límites básicos/laterales.
CLASE 3 (2 h): Continuidad en un punto y en intervalos. Clasificación de discontinuidades y ajuste de parámetros en funciones por tramos.</t>
  </si>
  <si>
    <t>Prueba 1 (2 h)</t>
  </si>
  <si>
    <t>26–30 oct 2026</t>
  </si>
  <si>
    <t>Álgebra y teoremas de continuidad</t>
  </si>
  <si>
    <t>CLASE 1 (1 h): Álgebra de funciones continuas, composición y cambio de variable; continuidad de polinomios, racionales y radicales.
CLASE 2 (2 h): Teoremas de preservación del signo, acotamiento y máximo–mínimo; hipótesis, conclusiones y contraejemplos.
CLASE 3 (2 h): Teorema de Bolzano y teorema del valor intermedio. Localización de ceros y resolución de problemas.</t>
  </si>
  <si>
    <t>Énfasis en verificar hipótesis.</t>
  </si>
  <si>
    <t>2–6 nov 2026</t>
  </si>
  <si>
    <t>Funciones trigonométricas, exponencial y logaritmo</t>
  </si>
  <si>
    <t>CLASE 1 (1 h): Funciones trigonométricas: dominio, periodicidad, simetría e identidades necesarias.
CLASE 2 (2 h): Límites trigonométricos fundamentales mediante encaje; continuidad y ejemplos con cambio de variable.
CLASE 3 (2 h): Funciones exponencial y logarítmica: propiedades, inversas, gráficas, límites, continuidad y crecimiento comparado.</t>
  </si>
  <si>
    <t>Integra contenidos de funciones con límites.</t>
  </si>
  <si>
    <t>9–13 nov 2026</t>
  </si>
  <si>
    <t>Evaluación e introducción a la derivada</t>
  </si>
  <si>
    <t>CLASE 1 (1 h): Repaso aplicado de continuidad, teoremas fundamentales y funciones trascendentes.
CLASE 2 (2 h): PRUEBA 2 — límites especiales, continuidad y teoremas fundamentales.
CLASE 3 (2 h): Derivada como límite del cociente incremental. Interpretaciones geométrica y física; diferenciabilidad frente a continuidad; esquinas, cúspides y tangentes verticales.</t>
  </si>
  <si>
    <t>Prueba 2 (2 h)</t>
  </si>
  <si>
    <t>16–20 nov 2026</t>
  </si>
  <si>
    <t>Cierre del primer bimestre</t>
  </si>
  <si>
    <t>Examen 1 (2 h). Cierre administrativo: 26 nov.</t>
  </si>
  <si>
    <t>30 nov–4 dic 2026</t>
  </si>
  <si>
    <t>Reglas de derivación</t>
  </si>
  <si>
    <t>Inicio del segundo bimestre.</t>
  </si>
  <si>
    <t>7–11 dic 2026</t>
  </si>
  <si>
    <t>Inversas, derivación implícita y funciones elementales</t>
  </si>
  <si>
    <t>CLASE 1 (1 h): Teorema de la función inversa y derivada de una inversa; condiciones y ejemplos.
CLASE 2 (2 h): Derivadas de funciones trigonométricas, exponenciales y logarítmicas; derivación logarítmica.
CLASE 3 (2 h): Derivación implícita y tangentes a curvas. Casos con varias ramas y puntos singulares.</t>
  </si>
  <si>
    <t>Preparación para la Prueba 3.</t>
  </si>
  <si>
    <t>14–18 dic 2026</t>
  </si>
  <si>
    <t>Evaluación, derivadas superiores y valor medio</t>
  </si>
  <si>
    <t>Prueba 3 (2 h)</t>
  </si>
  <si>
    <t>21–23 dic 2026</t>
  </si>
  <si>
    <t>Extremos, monotonicidad y convexidad</t>
  </si>
  <si>
    <t>CLASE 1 (1 h): Puntos críticos, intervalos de crecimiento/decrecimiento y prueba de la primera derivada.
CLASE 2 (2 h): Extremos locales y absolutos en intervalos abiertos y cerrados; casos con extremos no derivables.
CLASE 3 (2 h): Convexidad, concavidad, puntos de inflexión y prueba de la segunda derivada; lectura completa de gráficas.</t>
  </si>
  <si>
    <t>Las 5 h deben ubicarse antes del receso del 24 dic.</t>
  </si>
  <si>
    <t>4–8 ene 2027</t>
  </si>
  <si>
    <t>Optimización y razones de cambio</t>
  </si>
  <si>
    <t>Receso: 24 dic–3 ene.</t>
  </si>
  <si>
    <t>11–15 ene 2027</t>
  </si>
  <si>
    <t>Evaluación, gráficas y ceros</t>
  </si>
  <si>
    <t>CLASE 1 (1 h): Construcción de gráficas con dominio, interceptos, asíntotas, monotonicidad, extremos y convexidad.
CLASE 2 (2 h): PRUEBA 4 — valor medio, extremos, monotonicidad, convexidad, optimización y razones relacionadas.
CLASE 3 (2 h): Localización de ceros no lineales. Bolzano, bisección y método de Newton; comparación y casos de falla.</t>
  </si>
  <si>
    <t>Prueba 4 (2 h)</t>
  </si>
  <si>
    <t>18–22 ene 2027</t>
  </si>
  <si>
    <t>L'Hôpital, Taylor y definición formal de límite</t>
  </si>
  <si>
    <t>CLASE 1 (1 h): Regla de L'Hôpital: hipótesis y formas 0/0 e ∞/∞; formas transformables y usos indebidos.
CLASE 2 (2 h): Fórmula de Taylor con resto de Lagrange. Aproximación local, estimación del error y ejemplos elementales.
CLASE 3 (2 h): Definición formal ε–δ del límite finito. Lectura lógica, elección de δ y demostraciones lineales/cuadráticas.</t>
  </si>
  <si>
    <t>La formalización constituye el capítulo final.</t>
  </si>
  <si>
    <t>25–28 ene 2027</t>
  </si>
  <si>
    <t>Formalización y cierre del curso</t>
  </si>
  <si>
    <t>CLASE 1 (1 h): Definiciones formales de límites laterales, infinitos y al infinito; ejercicios de prueba y síntesis.
CLASE 2 (2 h): EXAMEN 2 — contenidos de las semanas 9 a 15, incluida la definición formal ε–δ.
CLASE 3 (2 h): Retroalimentación del examen, corrección de estrategias y cierre conceptual del curso (sin integración).</t>
  </si>
  <si>
    <t>Examen 2 (2 h). Fin del bimestre: 28 ene.</t>
  </si>
  <si>
    <t>CRITERIOS DE PLANIFICACIÓN Y CALENDARIO</t>
  </si>
  <si>
    <t>CALENDARIO</t>
  </si>
  <si>
    <t>Inicio de clases</t>
  </si>
  <si>
    <t>28 de septiembre de 2026</t>
  </si>
  <si>
    <t>26 de noviembre de 2026</t>
  </si>
  <si>
    <t>Pruebas 1 y 2 y Examen 1 evaluados antes de esta fecha.</t>
  </si>
  <si>
    <t>Semana administrativa</t>
  </si>
  <si>
    <t>23–26 de noviembre de 2026</t>
  </si>
  <si>
    <t>No cuenta entre las 16 semanas lectivas; se reserva para cierre y registro.</t>
  </si>
  <si>
    <t>Receso</t>
  </si>
  <si>
    <t>24 de diciembre de 2026–3 de enero de 2027</t>
  </si>
  <si>
    <t>La semana 12 concentra 5 h entre el 21 y el 23 de diciembre.</t>
  </si>
  <si>
    <t>Fin del segundo bimestre</t>
  </si>
  <si>
    <t>28 de enero de 2027</t>
  </si>
  <si>
    <t>Pruebas 3 y 4 y Examen 2 evaluados hasta esta fecha.</t>
  </si>
  <si>
    <t>DISTRIBUCIÓN DE HORAS</t>
  </si>
  <si>
    <t>16 semanas × 5 h.</t>
  </si>
  <si>
    <t>Evaluaciones</t>
  </si>
  <si>
    <t>Seis sesiones de 2 h: cuatro pruebas y dos exámenes.</t>
  </si>
  <si>
    <t>Desarrollo temático</t>
  </si>
  <si>
    <t>Conceptos, ejemplos, demostraciones breves y casos especiales.</t>
  </si>
  <si>
    <t>SECUENCIA Y ALCANCE</t>
  </si>
  <si>
    <t>Primer bimestre</t>
  </si>
  <si>
    <t>Funciones; límites; continuidad; teoremas fundamentales; funciones trascendentes; introducción a la derivada.</t>
  </si>
  <si>
    <t>Segundo bimestre</t>
  </si>
  <si>
    <t>Reglas de derivación; valor medio; extremos; gráficas; optimización; razones relacionadas; ceros; L'Hôpital; Taylor; formalización ε–δ.</t>
  </si>
  <si>
    <t>Exclusión</t>
  </si>
  <si>
    <t>No se incluye integración, sumas de Riemann ni teoremas fundamentales del cálculo integral.</t>
  </si>
  <si>
    <t>Criterio transversal</t>
  </si>
  <si>
    <t>Los contenidos de funciones reaparecen en límites y derivadas para evitar concentrarlos en una sola semana.</t>
  </si>
  <si>
    <t>FUENTES</t>
  </si>
  <si>
    <t>Documento 1</t>
  </si>
  <si>
    <t>Grado_CalculoUnaVariable_NotasClase_2018-B.pdf</t>
  </si>
  <si>
    <t>Repasos 1–9 y capítulo final de definición formal del límite.</t>
  </si>
  <si>
    <t>Documento 2</t>
  </si>
  <si>
    <t>2. MATD124 Calculo diferencial.pdf</t>
  </si>
  <si>
    <t>Capítulos 3–6: límites y continuidad, continuidad fundamental, diferenciación y aplicaciones.</t>
  </si>
  <si>
    <t>CLASE 1 (1 h): Monotonía del límite, preservación del signo y teorema del Sanduche; ejemplos oscilatorios y acotados.
CLASE 2 (2 h): Límites laterales y criterio de existencia. Funciones por partes; saltos y discontinuidades removibles.
CLASE 3 (2 h): Límites infinitos y al infinito. Asíntotas verticales y horizontales; comparación de grados y casos especiales.</t>
  </si>
  <si>
    <t>CLASE 1 (1 h): Síntesis de funciones, límites, continuidad y derivada inicial; resolución guiada.
CLASE 2 (2 h): EXAMEN 1 — contenidos de las semanas 1 a 7.
CLASE 3 (2 h): Retroalimentación del examen. Reglas de derivación mediante ejemplos.</t>
  </si>
  <si>
    <t>CLASE 1 (1 h): Derivadas desde la definición; recta tangente y tasa instantánea. Casos con valor absoluto y funciones por tramos.
CLASE 2 (2 h): Álgebra de derivadas: suma, producto, cociente y potencias; demostraciones breves y práctica escalonada.
CLASE 3 (2 h): Regla de la cadena. Composiciones múltiples y análisis de dominio.</t>
  </si>
  <si>
    <t>CLASE 1 (1 h): Derivadas de orden superior.
CLASE 2 (2 h): PRUEBA 3 — definición y reglas de derivación, cadena, inversas e implícita.
CLASE 3 (2 h): Teoremas de Rolle y del valor medio. Interpretación geométrica, hipótesis, contraejemplos y consecuencias.</t>
  </si>
  <si>
    <t>CLASE 1 (1 h): Síntesis de criterios de extremos y convexidad.
CLASE 2 (2 h): Optimización geométrica y económica: modelación, dominio factible, extremos y validación.
CLASE 3 (2 h): Razones de cambio relacionadas: diagramas, diferenciación respecto del tiempo, signos y unidades.</t>
  </si>
  <si>
    <r>
      <rPr>
        <sz val="10"/>
        <color rgb="FFFF0000"/>
        <rFont val="Aptos"/>
      </rPr>
      <t xml:space="preserve">CLASE 1 (1 h): Presentación del sílabo e indicaciones generales del curso. Definición de función como relación; dominio, codominio, imagen y restricción. Ejemplos y contraejemplos.
CLASE 2 (2 h): Representaciones verbal, tabular, gráfica y algebraica. Dominio y recorrido de funciones afines, polinómicas, racionales y radicales; casos con restricciones.
</t>
    </r>
    <r>
      <rPr>
        <sz val="10"/>
        <color theme="1"/>
        <rFont val="Aptos"/>
        <family val="2"/>
      </rPr>
      <t>CLASE 3 (2 h): Transformaciones de gráficas, operaciones y composición. Paridad, simetría y monotonicidad con ejemplos por tramos.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</si>
</sst>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0"/>
      <color theme="1"/>
      <name val="Aptos"/>
      <family val="2"/>
    </font>
    <font>
      <b/>
      <sz val="10"/>
      <color rgb="FFFFFFFF"/>
      <name val="Aptos"/>
      <family val="2"/>
    </font>
    <font>
      <b/>
      <sz val="16"/>
      <color rgb="FFFFFFFF"/>
      <name val="Aptos"/>
      <family val="2"/>
    </font>
    <font>
      <i/>
      <sz val="10"/>
      <color theme="1"/>
      <name val="Aptos"/>
      <family val="2"/>
    </font>
    <font>
      <b/>
      <sz val="10"/>
      <color theme="1"/>
      <name val="Aptos"/>
      <family val="2"/>
    </font>
    <font>
      <b/>
      <sz val="15"/>
      <color rgb="FFFFFFFF"/>
      <name val="Aptos"/>
      <family val="2"/>
    </font>
    <font>
      <sz val="10"/>
      <color rgb="FFFF0000"/>
      <name val="Aptos"/>
    </font>
    <font>
      <sz val="10"/>
      <color theme="1"/>
      <name val="Aptos"/>
    </font>
  </fonts>
  <fills count="9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2F7575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699"/>
        <bgColor indexed="64"/>
      </patternFill>
    </fill>
  </fills>
  <borders count="4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rgb="FFD2D2D2"/>
      </left>
      <right style="thin">
        <color rgb="FFD2D2D2"/>
      </right>
      <top style="thin">
        <color rgb="FFD2D2D2"/>
      </top>
      <bottom style="thin">
        <color rgb="FFD2D2D2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4" borderId="1" xfId="0" applyFont="1" applyFill="1" applyBorder="1"/>
    <xf numFmtId="0" fontId="5" fillId="5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 vertical="top" wrapText="1"/>
    </xf>
    <xf numFmtId="0" fontId="1" fillId="0" borderId="2" xfId="0" applyFont="1" applyBorder="1" applyAlignment="1">
      <alignment wrapText="1"/>
    </xf>
    <xf numFmtId="0" fontId="1" fillId="7" borderId="2" xfId="0" applyFont="1" applyFill="1" applyBorder="1" applyAlignment="1">
      <alignment horizontal="center" vertical="top" wrapText="1"/>
    </xf>
    <xf numFmtId="0" fontId="1" fillId="8" borderId="2" xfId="0" applyFont="1" applyFill="1" applyBorder="1" applyAlignment="1">
      <alignment horizontal="center" vertical="top" wrapText="1"/>
    </xf>
    <xf numFmtId="0" fontId="2" fillId="6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5" fillId="0" borderId="2" xfId="0" applyFont="1" applyBorder="1" applyAlignment="1">
      <alignment wrapText="1"/>
    </xf>
    <xf numFmtId="0" fontId="2" fillId="4" borderId="3" xfId="0" applyFont="1" applyFill="1" applyBorder="1" applyAlignment="1">
      <alignment vertical="top" wrapText="1"/>
    </xf>
    <xf numFmtId="0" fontId="1" fillId="0" borderId="3" xfId="0" applyFont="1" applyBorder="1"/>
    <xf numFmtId="0" fontId="5" fillId="0" borderId="3" xfId="0" applyFont="1" applyBorder="1" applyAlignment="1">
      <alignment vertical="top" wrapText="1"/>
    </xf>
    <xf numFmtId="0" fontId="3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8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97CE2-940F-416F-816C-0E8E8032AD11}">
  <sheetPr>
    <pageSetUpPr fitToPage="1"/>
  </sheetPr>
  <dimension ref="A1:C20"/>
  <sheetViews>
    <sheetView showGridLines="0" workbookViewId="0">
      <pane ySplit="1" topLeftCell="A2" activePane="bottomLeft" state="frozenSplit"/>
      <selection pane="bottomLeft" sqref="A1:C1"/>
    </sheetView>
  </sheetViews>
  <sheetFormatPr baseColWidth="10" defaultColWidth="11.5" defaultRowHeight="14" x14ac:dyDescent="0.2"/>
  <cols>
    <col min="1" max="1" width="25.83203125" style="1" customWidth="1"/>
    <col min="2" max="2" width="55.83203125" style="1" customWidth="1"/>
    <col min="3" max="3" width="65.83203125" style="1" customWidth="1"/>
    <col min="4" max="16384" width="11.5" style="1"/>
  </cols>
  <sheetData>
    <row r="1" spans="1:3" ht="30" customHeight="1" x14ac:dyDescent="0.25">
      <c r="A1" s="16" t="s">
        <v>71</v>
      </c>
      <c r="B1" s="16"/>
      <c r="C1" s="16"/>
    </row>
    <row r="3" spans="1:3" ht="22" customHeight="1" x14ac:dyDescent="0.2">
      <c r="A3" s="11" t="s">
        <v>72</v>
      </c>
      <c r="B3" s="12"/>
      <c r="C3" s="12"/>
    </row>
    <row r="4" spans="1:3" ht="38" customHeight="1" x14ac:dyDescent="0.2">
      <c r="A4" s="13" t="s">
        <v>73</v>
      </c>
      <c r="B4" s="12" t="s">
        <v>74</v>
      </c>
      <c r="C4" s="12"/>
    </row>
    <row r="5" spans="1:3" ht="38" customHeight="1" x14ac:dyDescent="0.2">
      <c r="A5" s="13" t="s">
        <v>40</v>
      </c>
      <c r="B5" s="12" t="s">
        <v>75</v>
      </c>
      <c r="C5" s="12" t="s">
        <v>76</v>
      </c>
    </row>
    <row r="6" spans="1:3" ht="38" customHeight="1" x14ac:dyDescent="0.2">
      <c r="A6" s="13" t="s">
        <v>77</v>
      </c>
      <c r="B6" s="12" t="s">
        <v>78</v>
      </c>
      <c r="C6" s="12" t="s">
        <v>79</v>
      </c>
    </row>
    <row r="7" spans="1:3" ht="38" customHeight="1" x14ac:dyDescent="0.2">
      <c r="A7" s="13" t="s">
        <v>80</v>
      </c>
      <c r="B7" s="12" t="s">
        <v>81</v>
      </c>
      <c r="C7" s="12" t="s">
        <v>82</v>
      </c>
    </row>
    <row r="8" spans="1:3" ht="38" customHeight="1" x14ac:dyDescent="0.2">
      <c r="A8" s="13" t="s">
        <v>83</v>
      </c>
      <c r="B8" s="12" t="s">
        <v>84</v>
      </c>
      <c r="C8" s="12" t="s">
        <v>85</v>
      </c>
    </row>
    <row r="9" spans="1:3" ht="22" customHeight="1" x14ac:dyDescent="0.2">
      <c r="A9" s="11" t="s">
        <v>86</v>
      </c>
      <c r="B9" s="12"/>
      <c r="C9" s="12"/>
    </row>
    <row r="10" spans="1:3" ht="38" customHeight="1" x14ac:dyDescent="0.2">
      <c r="A10" s="13" t="s">
        <v>2</v>
      </c>
      <c r="B10" s="12">
        <v>80</v>
      </c>
      <c r="C10" s="12" t="s">
        <v>87</v>
      </c>
    </row>
    <row r="11" spans="1:3" ht="38" customHeight="1" x14ac:dyDescent="0.2">
      <c r="A11" s="13" t="s">
        <v>88</v>
      </c>
      <c r="B11" s="12">
        <v>12</v>
      </c>
      <c r="C11" s="12" t="s">
        <v>89</v>
      </c>
    </row>
    <row r="12" spans="1:3" ht="38" customHeight="1" x14ac:dyDescent="0.2">
      <c r="A12" s="13" t="s">
        <v>90</v>
      </c>
      <c r="B12" s="12">
        <v>68</v>
      </c>
      <c r="C12" s="12" t="s">
        <v>91</v>
      </c>
    </row>
    <row r="13" spans="1:3" ht="22" customHeight="1" x14ac:dyDescent="0.2">
      <c r="A13" s="11" t="s">
        <v>92</v>
      </c>
      <c r="B13" s="12"/>
      <c r="C13" s="12"/>
    </row>
    <row r="14" spans="1:3" ht="38" customHeight="1" x14ac:dyDescent="0.2">
      <c r="A14" s="13" t="s">
        <v>93</v>
      </c>
      <c r="B14" s="12" t="s">
        <v>94</v>
      </c>
      <c r="C14" s="12"/>
    </row>
    <row r="15" spans="1:3" ht="38" customHeight="1" x14ac:dyDescent="0.2">
      <c r="A15" s="13" t="s">
        <v>95</v>
      </c>
      <c r="B15" s="12" t="s">
        <v>96</v>
      </c>
      <c r="C15" s="12"/>
    </row>
    <row r="16" spans="1:3" ht="38" customHeight="1" x14ac:dyDescent="0.2">
      <c r="A16" s="13" t="s">
        <v>97</v>
      </c>
      <c r="B16" s="12" t="s">
        <v>98</v>
      </c>
      <c r="C16" s="12"/>
    </row>
    <row r="17" spans="1:3" ht="38" customHeight="1" x14ac:dyDescent="0.2">
      <c r="A17" s="13" t="s">
        <v>99</v>
      </c>
      <c r="B17" s="12" t="s">
        <v>100</v>
      </c>
      <c r="C17" s="12"/>
    </row>
    <row r="18" spans="1:3" ht="22" customHeight="1" x14ac:dyDescent="0.2">
      <c r="A18" s="11" t="s">
        <v>101</v>
      </c>
      <c r="B18" s="12"/>
      <c r="C18" s="12"/>
    </row>
    <row r="19" spans="1:3" ht="38" customHeight="1" x14ac:dyDescent="0.2">
      <c r="A19" s="13" t="s">
        <v>102</v>
      </c>
      <c r="B19" s="12" t="s">
        <v>103</v>
      </c>
      <c r="C19" s="12" t="s">
        <v>104</v>
      </c>
    </row>
    <row r="20" spans="1:3" ht="38" customHeight="1" x14ac:dyDescent="0.2">
      <c r="A20" s="13" t="s">
        <v>105</v>
      </c>
      <c r="B20" s="12" t="s">
        <v>106</v>
      </c>
      <c r="C20" s="12" t="s">
        <v>107</v>
      </c>
    </row>
  </sheetData>
  <mergeCells count="1">
    <mergeCell ref="A1:C1"/>
  </mergeCell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7B0A6-554D-4F0D-8366-60E2F6FC15F9}">
  <sheetPr>
    <pageSetUpPr fitToPage="1"/>
  </sheetPr>
  <dimension ref="A1:G23"/>
  <sheetViews>
    <sheetView showGridLines="0" tabSelected="1" topLeftCell="B1" zoomScale="130" zoomScaleNormal="130" workbookViewId="0">
      <pane ySplit="7" topLeftCell="A8" activePane="bottomLeft" state="frozenSplit"/>
      <selection pane="bottomLeft" activeCell="D8" sqref="D8"/>
    </sheetView>
  </sheetViews>
  <sheetFormatPr baseColWidth="10" defaultColWidth="11.5" defaultRowHeight="14" x14ac:dyDescent="0.2"/>
  <cols>
    <col min="1" max="1" width="8.83203125" style="1" customWidth="1"/>
    <col min="2" max="2" width="18.83203125" style="1" customWidth="1"/>
    <col min="3" max="3" width="36.83203125" style="1" customWidth="1"/>
    <col min="4" max="4" width="100.83203125" style="1" customWidth="1"/>
    <col min="5" max="5" width="8.83203125" style="1" customWidth="1"/>
    <col min="6" max="6" width="12.83203125" style="1" customWidth="1"/>
    <col min="7" max="7" width="44.83203125" style="1" customWidth="1"/>
    <col min="8" max="16384" width="11.5" style="1"/>
  </cols>
  <sheetData>
    <row r="1" spans="1:7" ht="30" customHeight="1" x14ac:dyDescent="0.3">
      <c r="A1" s="14" t="s">
        <v>0</v>
      </c>
      <c r="B1" s="14"/>
      <c r="C1" s="14"/>
      <c r="D1" s="14"/>
      <c r="E1" s="14"/>
      <c r="F1" s="14"/>
      <c r="G1" s="14"/>
    </row>
    <row r="2" spans="1:7" ht="22" customHeight="1" x14ac:dyDescent="0.2">
      <c r="A2" s="15" t="s">
        <v>1</v>
      </c>
      <c r="B2" s="15"/>
      <c r="C2" s="15"/>
      <c r="D2" s="15"/>
      <c r="E2" s="15"/>
      <c r="F2" s="15"/>
      <c r="G2" s="15"/>
    </row>
    <row r="4" spans="1:7" ht="24" customHeight="1" x14ac:dyDescent="0.2">
      <c r="A4" s="2" t="s">
        <v>2</v>
      </c>
      <c r="B4" s="3">
        <f>SUMPRODUCT(--E8:E23)</f>
        <v>80</v>
      </c>
      <c r="C4" s="2" t="s">
        <v>3</v>
      </c>
      <c r="D4" s="3">
        <f>SUMPRODUCT(--F8:F23)</f>
        <v>12</v>
      </c>
      <c r="E4" s="2" t="s">
        <v>4</v>
      </c>
      <c r="F4" s="3">
        <f>B4-D4</f>
        <v>68</v>
      </c>
      <c r="G4" s="3" t="s">
        <v>5</v>
      </c>
    </row>
    <row r="7" spans="1:7" ht="28" customHeight="1" x14ac:dyDescent="0.2">
      <c r="A7" s="8" t="s">
        <v>6</v>
      </c>
      <c r="B7" s="8" t="s">
        <v>7</v>
      </c>
      <c r="C7" s="8" t="s">
        <v>8</v>
      </c>
      <c r="D7" s="8" t="s">
        <v>9</v>
      </c>
      <c r="E7" s="8" t="s">
        <v>10</v>
      </c>
      <c r="F7" s="8" t="s">
        <v>11</v>
      </c>
      <c r="G7" s="8" t="s">
        <v>12</v>
      </c>
    </row>
    <row r="8" spans="1:7" ht="124" customHeight="1" x14ac:dyDescent="0.2">
      <c r="A8" s="4">
        <v>1</v>
      </c>
      <c r="B8" s="5" t="s">
        <v>13</v>
      </c>
      <c r="C8" s="5" t="s">
        <v>14</v>
      </c>
      <c r="D8" s="17" t="s">
        <v>113</v>
      </c>
      <c r="E8" s="9">
        <v>5</v>
      </c>
      <c r="F8" s="5">
        <v>0</v>
      </c>
      <c r="G8" s="5" t="s">
        <v>15</v>
      </c>
    </row>
    <row r="9" spans="1:7" ht="124" customHeight="1" x14ac:dyDescent="0.2">
      <c r="A9" s="6">
        <v>2</v>
      </c>
      <c r="B9" s="5" t="s">
        <v>16</v>
      </c>
      <c r="C9" s="5" t="s">
        <v>17</v>
      </c>
      <c r="D9" s="5" t="s">
        <v>18</v>
      </c>
      <c r="E9" s="9">
        <v>5</v>
      </c>
      <c r="F9" s="5">
        <v>0</v>
      </c>
      <c r="G9" s="5" t="s">
        <v>19</v>
      </c>
    </row>
    <row r="10" spans="1:7" ht="124" customHeight="1" x14ac:dyDescent="0.2">
      <c r="A10" s="4">
        <v>3</v>
      </c>
      <c r="B10" s="5" t="s">
        <v>20</v>
      </c>
      <c r="C10" s="5" t="s">
        <v>21</v>
      </c>
      <c r="D10" s="5" t="s">
        <v>108</v>
      </c>
      <c r="E10" s="9">
        <v>5</v>
      </c>
      <c r="F10" s="5">
        <v>0</v>
      </c>
      <c r="G10" s="5" t="s">
        <v>22</v>
      </c>
    </row>
    <row r="11" spans="1:7" ht="124" customHeight="1" x14ac:dyDescent="0.2">
      <c r="A11" s="7">
        <v>4</v>
      </c>
      <c r="B11" s="5" t="s">
        <v>23</v>
      </c>
      <c r="C11" s="5" t="s">
        <v>24</v>
      </c>
      <c r="D11" s="5" t="s">
        <v>25</v>
      </c>
      <c r="E11" s="9">
        <v>5</v>
      </c>
      <c r="F11" s="5">
        <v>2</v>
      </c>
      <c r="G11" s="10" t="s">
        <v>26</v>
      </c>
    </row>
    <row r="12" spans="1:7" ht="124" customHeight="1" x14ac:dyDescent="0.2">
      <c r="A12" s="4">
        <v>5</v>
      </c>
      <c r="B12" s="5" t="s">
        <v>27</v>
      </c>
      <c r="C12" s="5" t="s">
        <v>28</v>
      </c>
      <c r="D12" s="5" t="s">
        <v>29</v>
      </c>
      <c r="E12" s="9">
        <v>5</v>
      </c>
      <c r="F12" s="5">
        <v>0</v>
      </c>
      <c r="G12" s="5" t="s">
        <v>30</v>
      </c>
    </row>
    <row r="13" spans="1:7" ht="124" customHeight="1" x14ac:dyDescent="0.2">
      <c r="A13" s="6">
        <v>6</v>
      </c>
      <c r="B13" s="5" t="s">
        <v>31</v>
      </c>
      <c r="C13" s="5" t="s">
        <v>32</v>
      </c>
      <c r="D13" s="5" t="s">
        <v>33</v>
      </c>
      <c r="E13" s="9">
        <v>5</v>
      </c>
      <c r="F13" s="5">
        <v>0</v>
      </c>
      <c r="G13" s="5" t="s">
        <v>34</v>
      </c>
    </row>
    <row r="14" spans="1:7" ht="124" customHeight="1" x14ac:dyDescent="0.2">
      <c r="A14" s="7">
        <v>7</v>
      </c>
      <c r="B14" s="5" t="s">
        <v>35</v>
      </c>
      <c r="C14" s="5" t="s">
        <v>36</v>
      </c>
      <c r="D14" s="5" t="s">
        <v>37</v>
      </c>
      <c r="E14" s="9">
        <v>5</v>
      </c>
      <c r="F14" s="5">
        <v>2</v>
      </c>
      <c r="G14" s="10" t="s">
        <v>38</v>
      </c>
    </row>
    <row r="15" spans="1:7" ht="124" customHeight="1" x14ac:dyDescent="0.2">
      <c r="A15" s="7">
        <v>8</v>
      </c>
      <c r="B15" s="5" t="s">
        <v>39</v>
      </c>
      <c r="C15" s="5" t="s">
        <v>40</v>
      </c>
      <c r="D15" s="5" t="s">
        <v>109</v>
      </c>
      <c r="E15" s="9">
        <v>5</v>
      </c>
      <c r="F15" s="5">
        <v>2</v>
      </c>
      <c r="G15" s="10" t="s">
        <v>41</v>
      </c>
    </row>
    <row r="16" spans="1:7" ht="124" customHeight="1" x14ac:dyDescent="0.2">
      <c r="A16" s="4">
        <v>9</v>
      </c>
      <c r="B16" s="5" t="s">
        <v>42</v>
      </c>
      <c r="C16" s="5" t="s">
        <v>43</v>
      </c>
      <c r="D16" s="5" t="s">
        <v>110</v>
      </c>
      <c r="E16" s="9">
        <v>5</v>
      </c>
      <c r="F16" s="5">
        <v>0</v>
      </c>
      <c r="G16" s="5" t="s">
        <v>44</v>
      </c>
    </row>
    <row r="17" spans="1:7" ht="124" customHeight="1" x14ac:dyDescent="0.2">
      <c r="A17" s="6">
        <v>10</v>
      </c>
      <c r="B17" s="5" t="s">
        <v>45</v>
      </c>
      <c r="C17" s="5" t="s">
        <v>46</v>
      </c>
      <c r="D17" s="5" t="s">
        <v>47</v>
      </c>
      <c r="E17" s="9">
        <v>5</v>
      </c>
      <c r="F17" s="5">
        <v>0</v>
      </c>
      <c r="G17" s="5" t="s">
        <v>48</v>
      </c>
    </row>
    <row r="18" spans="1:7" ht="124" customHeight="1" x14ac:dyDescent="0.2">
      <c r="A18" s="7">
        <v>11</v>
      </c>
      <c r="B18" s="5" t="s">
        <v>49</v>
      </c>
      <c r="C18" s="5" t="s">
        <v>50</v>
      </c>
      <c r="D18" s="5" t="s">
        <v>111</v>
      </c>
      <c r="E18" s="9">
        <v>5</v>
      </c>
      <c r="F18" s="5">
        <v>2</v>
      </c>
      <c r="G18" s="10" t="s">
        <v>51</v>
      </c>
    </row>
    <row r="19" spans="1:7" ht="124" customHeight="1" x14ac:dyDescent="0.2">
      <c r="A19" s="6">
        <v>12</v>
      </c>
      <c r="B19" s="5" t="s">
        <v>52</v>
      </c>
      <c r="C19" s="5" t="s">
        <v>53</v>
      </c>
      <c r="D19" s="5" t="s">
        <v>54</v>
      </c>
      <c r="E19" s="9">
        <v>5</v>
      </c>
      <c r="F19" s="5">
        <v>0</v>
      </c>
      <c r="G19" s="5" t="s">
        <v>55</v>
      </c>
    </row>
    <row r="20" spans="1:7" ht="124" customHeight="1" x14ac:dyDescent="0.2">
      <c r="A20" s="4">
        <v>13</v>
      </c>
      <c r="B20" s="5" t="s">
        <v>56</v>
      </c>
      <c r="C20" s="5" t="s">
        <v>57</v>
      </c>
      <c r="D20" s="5" t="s">
        <v>112</v>
      </c>
      <c r="E20" s="9">
        <v>5</v>
      </c>
      <c r="F20" s="5">
        <v>0</v>
      </c>
      <c r="G20" s="5" t="s">
        <v>58</v>
      </c>
    </row>
    <row r="21" spans="1:7" ht="124" customHeight="1" x14ac:dyDescent="0.2">
      <c r="A21" s="7">
        <v>14</v>
      </c>
      <c r="B21" s="5" t="s">
        <v>59</v>
      </c>
      <c r="C21" s="5" t="s">
        <v>60</v>
      </c>
      <c r="D21" s="5" t="s">
        <v>61</v>
      </c>
      <c r="E21" s="9">
        <v>5</v>
      </c>
      <c r="F21" s="5">
        <v>2</v>
      </c>
      <c r="G21" s="10" t="s">
        <v>62</v>
      </c>
    </row>
    <row r="22" spans="1:7" ht="124" customHeight="1" x14ac:dyDescent="0.2">
      <c r="A22" s="4">
        <v>15</v>
      </c>
      <c r="B22" s="5" t="s">
        <v>63</v>
      </c>
      <c r="C22" s="5" t="s">
        <v>64</v>
      </c>
      <c r="D22" s="5" t="s">
        <v>65</v>
      </c>
      <c r="E22" s="9">
        <v>5</v>
      </c>
      <c r="F22" s="5">
        <v>0</v>
      </c>
      <c r="G22" s="5" t="s">
        <v>66</v>
      </c>
    </row>
    <row r="23" spans="1:7" ht="124" customHeight="1" x14ac:dyDescent="0.2">
      <c r="A23" s="7">
        <v>16</v>
      </c>
      <c r="B23" s="5" t="s">
        <v>67</v>
      </c>
      <c r="C23" s="5" t="s">
        <v>68</v>
      </c>
      <c r="D23" s="5" t="s">
        <v>69</v>
      </c>
      <c r="E23" s="9">
        <v>5</v>
      </c>
      <c r="F23" s="5">
        <v>2</v>
      </c>
      <c r="G23" s="10" t="s">
        <v>70</v>
      </c>
    </row>
  </sheetData>
  <autoFilter ref="A7:G23" xr:uid="{7877B0A6-554D-4F0D-8366-60E2F6FC15F9}"/>
  <mergeCells count="2">
    <mergeCell ref="A1:G1"/>
    <mergeCell ref="A2:G2"/>
  </mergeCells>
  <pageMargins left="0.7" right="0.7" top="0.75" bottom="0.75" header="0.3" footer="0.3"/>
  <pageSetup scale="52" fitToHeight="0" orientation="landscape" r:id="rId1"/>
  <headerFooter>
    <oddFooter>&amp;LCálculo Diferencial&amp;RPágina &amp;P de 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Criterios</vt:lpstr>
      <vt:lpstr>Plan semanal</vt:lpstr>
      <vt:lpstr>'Plan semanal'!Títulos_a_imprimir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Dabne Celin Barrera Trujillo</dc:creator>
  <cp:lastModifiedBy>MIGUEL ANGEL YANGARI SOSA</cp:lastModifiedBy>
  <dcterms:created xsi:type="dcterms:W3CDTF">2026-09-22T20:51:32Z</dcterms:created>
  <dcterms:modified xsi:type="dcterms:W3CDTF">2026-10-02T20:46:36Z</dcterms:modified>
</cp:coreProperties>
</file>